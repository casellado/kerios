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" sheetId="1" state="visible" r:id="rId3"/>
  </sheets>
  <definedNames>
    <definedName function="false" hidden="false" localSheetId="0" name="_xlnm.Print_Area" vbProcedure="false">'01'!$A$1:$Q$28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<sst xmlns="http://schemas.openxmlformats.org/spreadsheetml/2006/main" count="22" uniqueCount="22">
  <si>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PRELIEVO CAMPIONE</t>
  </si>
  <si>
    <t xml:space="preserve">PARTE DI OPERA</t>
  </si>
  <si>
    <t xml:space="preserve">LABORATORIO</t>
  </si>
  <si>
    <r>
      <rPr>
        <b val="true"/>
        <sz val="8"/>
        <color rgb="FF000000"/>
        <rFont val="Open Sans"/>
        <family val="2"/>
        <charset val="1"/>
      </rPr>
      <t xml:space="preserve">                       RISULTATI DELLE PROVE                                      f</t>
    </r>
    <r>
      <rPr>
        <b val="true"/>
        <vertAlign val="subscript"/>
        <sz val="8"/>
        <color rgb="FF000000"/>
        <rFont val="Open Sans"/>
        <family val="2"/>
        <charset val="1"/>
      </rPr>
      <t xml:space="preserve">y</t>
    </r>
    <r>
      <rPr>
        <b val="true"/>
        <sz val="8"/>
        <color rgb="FF000000"/>
        <rFont val="Open Sans"/>
        <family val="2"/>
        <charset val="1"/>
      </rPr>
      <t xml:space="preserve"> [N/mm</t>
    </r>
    <r>
      <rPr>
        <b val="true"/>
        <vertAlign val="superscript"/>
        <sz val="8"/>
        <color rgb="FF000000"/>
        <rFont val="Open Sans"/>
        <family val="2"/>
        <charset val="1"/>
      </rPr>
      <t xml:space="preserve">2</t>
    </r>
    <r>
      <rPr>
        <b val="true"/>
        <sz val="8"/>
        <color rgb="FF000000"/>
        <rFont val="Open Sans"/>
        <family val="2"/>
        <charset val="1"/>
      </rPr>
      <t xml:space="preserve">]; A</t>
    </r>
    <r>
      <rPr>
        <b val="true"/>
        <vertAlign val="subscript"/>
        <sz val="8"/>
        <color rgb="FF000000"/>
        <rFont val="Open Sans"/>
        <family val="2"/>
        <charset val="1"/>
      </rPr>
      <t xml:space="preserve">gt</t>
    </r>
    <r>
      <rPr>
        <b val="true"/>
        <sz val="8"/>
        <color rgb="FF000000"/>
        <rFont val="Open Sans"/>
        <family val="2"/>
        <charset val="1"/>
      </rPr>
      <t xml:space="preserve"> [%]; F = Favorevole </t>
    </r>
  </si>
  <si>
    <t xml:space="preserve">Controlli di accettazione (Tab. 11.3.VI)</t>
  </si>
  <si>
    <t xml:space="preserve">Verbale</t>
  </si>
  <si>
    <t xml:space="preserve">Data</t>
  </si>
  <si>
    <t xml:space="preserve">Ø</t>
  </si>
  <si>
    <t xml:space="preserve">Marchio del Produttore</t>
  </si>
  <si>
    <t xml:space="preserve">Ubicazione</t>
  </si>
  <si>
    <t xml:space="preserve">Denominazione</t>
  </si>
  <si>
    <t xml:space="preserve">Certificato</t>
  </si>
  <si>
    <t xml:space="preserve">Data fine prove</t>
  </si>
  <si>
    <r>
      <rPr>
        <b val="true"/>
        <sz val="10"/>
        <color rgb="FF000000"/>
        <rFont val="Open Sans"/>
        <family val="2"/>
        <charset val="1"/>
      </rPr>
      <t xml:space="preserve">f</t>
    </r>
    <r>
      <rPr>
        <b val="true"/>
        <vertAlign val="subscript"/>
        <sz val="10"/>
        <color rgb="FF000000"/>
        <rFont val="Open Sans"/>
        <family val="2"/>
        <charset val="1"/>
      </rPr>
      <t xml:space="preserve">y</t>
    </r>
  </si>
  <si>
    <r>
      <rPr>
        <b val="true"/>
        <sz val="10"/>
        <color rgb="FF000000"/>
        <rFont val="Open Sans"/>
        <family val="2"/>
        <charset val="1"/>
      </rPr>
      <t xml:space="preserve">A</t>
    </r>
    <r>
      <rPr>
        <b val="true"/>
        <vertAlign val="subscript"/>
        <sz val="10"/>
        <color rgb="FF000000"/>
        <rFont val="Open Sans"/>
        <family val="2"/>
        <charset val="1"/>
      </rPr>
      <t xml:space="preserve">gt</t>
    </r>
  </si>
  <si>
    <r>
      <rPr>
        <b val="true"/>
        <sz val="10"/>
        <color rgb="FF000000"/>
        <rFont val="Open Sans"/>
        <family val="2"/>
        <charset val="1"/>
      </rPr>
      <t xml:space="preserve">f</t>
    </r>
    <r>
      <rPr>
        <b val="true"/>
        <vertAlign val="subscript"/>
        <sz val="10"/>
        <color rgb="FF000000"/>
        <rFont val="Open Sans"/>
        <family val="2"/>
        <charset val="1"/>
      </rPr>
      <t xml:space="preserve">t</t>
    </r>
    <r>
      <rPr>
        <b val="true"/>
        <sz val="10"/>
        <color rgb="FF000000"/>
        <rFont val="Open Sans"/>
        <family val="2"/>
        <charset val="1"/>
      </rPr>
      <t xml:space="preserve">/f</t>
    </r>
    <r>
      <rPr>
        <b val="true"/>
        <vertAlign val="subscript"/>
        <sz val="10"/>
        <color rgb="FF000000"/>
        <rFont val="Open Sans"/>
        <family val="2"/>
        <charset val="1"/>
      </rPr>
      <t xml:space="preserve">y</t>
    </r>
  </si>
  <si>
    <t xml:space="preserve">Piega</t>
  </si>
  <si>
    <r>
      <rPr>
        <b val="true"/>
        <sz val="8"/>
        <color rgb="FF000000"/>
        <rFont val="Open Sans"/>
        <family val="2"/>
        <charset val="1"/>
      </rPr>
      <t xml:space="preserve">Esito controllo f</t>
    </r>
    <r>
      <rPr>
        <b val="true"/>
        <vertAlign val="subscript"/>
        <sz val="8"/>
        <color rgb="FF000000"/>
        <rFont val="Open Sans"/>
        <family val="2"/>
        <charset val="1"/>
      </rPr>
      <t xml:space="preserve">y</t>
    </r>
  </si>
  <si>
    <r>
      <rPr>
        <b val="true"/>
        <sz val="8"/>
        <color rgb="FF000000"/>
        <rFont val="Open Sans"/>
        <family val="2"/>
        <charset val="1"/>
      </rPr>
      <t xml:space="preserve">Esito controllo A</t>
    </r>
    <r>
      <rPr>
        <b val="true"/>
        <vertAlign val="subscript"/>
        <sz val="8"/>
        <color rgb="FF000000"/>
        <rFont val="Open Sans"/>
        <family val="2"/>
        <charset val="1"/>
      </rPr>
      <t xml:space="preserve">gt</t>
    </r>
  </si>
  <si>
    <r>
      <rPr>
        <b val="true"/>
        <sz val="8"/>
        <color rgb="FF000000"/>
        <rFont val="Open Sans"/>
        <family val="2"/>
        <charset val="1"/>
      </rPr>
      <t xml:space="preserve">Esito controllo f</t>
    </r>
    <r>
      <rPr>
        <b val="true"/>
        <vertAlign val="subscript"/>
        <sz val="8"/>
        <color rgb="FF000000"/>
        <rFont val="Open Sans"/>
        <family val="2"/>
        <charset val="1"/>
      </rPr>
      <t xml:space="preserve">t</t>
    </r>
    <r>
      <rPr>
        <b val="true"/>
        <sz val="8"/>
        <color rgb="FF000000"/>
        <rFont val="Open Sans"/>
        <family val="2"/>
        <charset val="1"/>
      </rPr>
      <t xml:space="preserve">/f</t>
    </r>
    <r>
      <rPr>
        <b val="true"/>
        <vertAlign val="subscript"/>
        <sz val="8"/>
        <color rgb="FF000000"/>
        <rFont val="Open Sans"/>
        <family val="2"/>
        <charset val="1"/>
      </rPr>
      <t xml:space="preserve">y</t>
    </r>
  </si>
  <si>
    <t xml:space="preserve">Esito  piega</t>
  </si>
  <si>
    <t xml:space="preserve">IL DIRETTORE LAVORI</t>
  </si>
</sst>
</file>

<file path=xl/styles.xml><?xml version="1.0" encoding="utf-8"?>
<styleSheet xmlns="http://schemas.openxmlformats.org/spreadsheetml/2006/main">
  <numFmts count="10">
    <numFmt numFmtId="164" formatCode="@"/>
    <numFmt numFmtId="165" formatCode="General"/>
    <numFmt numFmtId="166" formatCode="_-* #,##0_-;\-* #,##0_-;_-* \-_-;_-@_-"/>
    <numFmt numFmtId="167" formatCode="d\-mmm\-yy"/>
    <numFmt numFmtId="168" formatCode="0.00"/>
    <numFmt numFmtId="169" formatCode="0"/>
    <numFmt numFmtId="170" formatCode="dd/mm/yy;@"/>
    <numFmt numFmtId="171" formatCode="#,##0.00"/>
    <numFmt numFmtId="172" formatCode="dd/mm/yyyy"/>
    <numFmt numFmtId="173" formatCode="#,##0.0"/>
  </numFmts>
  <fonts count="1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Open Sans"/>
      <family val="2"/>
      <charset val="1"/>
    </font>
    <font>
      <b val="true"/>
      <sz val="12"/>
      <color rgb="FF339966"/>
      <name val="Open Sans"/>
      <family val="2"/>
      <charset val="1"/>
    </font>
    <font>
      <sz val="8"/>
      <name val="Arial"/>
      <family val="2"/>
      <charset val="1"/>
    </font>
    <font>
      <b val="true"/>
      <sz val="12"/>
      <color rgb="FF3366FF"/>
      <name val="Open Sans"/>
      <family val="2"/>
      <charset val="1"/>
    </font>
    <font>
      <b val="true"/>
      <sz val="12"/>
      <color rgb="FF3366FF"/>
      <name val="Arial"/>
      <family val="2"/>
      <charset val="1"/>
    </font>
    <font>
      <b val="true"/>
      <sz val="8"/>
      <name val="Open Sans"/>
      <family val="2"/>
      <charset val="1"/>
    </font>
    <font>
      <b val="true"/>
      <sz val="8"/>
      <color rgb="FF000000"/>
      <name val="Open Sans"/>
      <family val="2"/>
      <charset val="1"/>
    </font>
    <font>
      <b val="true"/>
      <vertAlign val="subscript"/>
      <sz val="8"/>
      <color rgb="FF000000"/>
      <name val="Open Sans"/>
      <family val="2"/>
      <charset val="1"/>
    </font>
    <font>
      <b val="true"/>
      <vertAlign val="superscript"/>
      <sz val="8"/>
      <color rgb="FF000000"/>
      <name val="Open Sans"/>
      <family val="2"/>
      <charset val="1"/>
    </font>
    <font>
      <b val="true"/>
      <sz val="10"/>
      <name val="Open Sans"/>
      <family val="2"/>
      <charset val="1"/>
    </font>
    <font>
      <b val="true"/>
      <sz val="10"/>
      <color rgb="FF000000"/>
      <name val="Open Sans"/>
      <family val="2"/>
      <charset val="1"/>
    </font>
    <font>
      <b val="true"/>
      <vertAlign val="subscript"/>
      <sz val="10"/>
      <color rgb="FF000000"/>
      <name val="Open Sans"/>
      <family val="2"/>
      <charset val="1"/>
    </font>
    <font>
      <sz val="8"/>
      <name val="Open Sans"/>
      <family val="2"/>
      <charset val="1"/>
    </font>
    <font>
      <sz val="10"/>
      <name val="Open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D8E4BC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6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dxfs count="3">
    <dxf>
      <font>
        <color rgb="FF9C0006"/>
      </font>
    </dxf>
    <dxf>
      <font>
        <color rgb="FF00B0F0"/>
      </font>
      <numFmt numFmtId="164" formatCode="@"/>
    </dxf>
    <dxf>
      <font>
        <b val="0"/>
        <i val="0"/>
        <strike val="0"/>
        <color rgb="FFFF0000"/>
      </font>
      <numFmt numFmtId="164" formatCode="@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8E4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84375" defaultRowHeight="12" customHeight="false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3.86"/>
    <col collapsed="false" customWidth="true" hidden="false" outlineLevel="0" max="4" min="4" style="1" width="15.14"/>
    <col collapsed="false" customWidth="true" hidden="false" outlineLevel="0" max="5" min="5" style="1" width="12.71"/>
    <col collapsed="false" customWidth="true" hidden="false" outlineLevel="0" max="6" min="6" style="1" width="15.85"/>
    <col collapsed="false" customWidth="true" hidden="false" outlineLevel="0" max="7" min="7" style="1" width="11.85"/>
    <col collapsed="false" customWidth="true" hidden="false" outlineLevel="0" max="9" min="8" style="1" width="8.86"/>
    <col collapsed="false" customWidth="true" hidden="false" outlineLevel="0" max="10" min="10" style="1" width="4.86"/>
    <col collapsed="false" customWidth="true" hidden="false" outlineLevel="0" max="11" min="11" style="1" width="3.86"/>
    <col collapsed="false" customWidth="true" hidden="false" outlineLevel="0" max="13" min="12" style="1" width="4.86"/>
    <col collapsed="false" customWidth="true" hidden="false" outlineLevel="0" max="14" min="14" style="1" width="9.57"/>
    <col collapsed="false" customWidth="true" hidden="false" outlineLevel="0" max="15" min="15" style="1" width="10.57"/>
    <col collapsed="false" customWidth="true" hidden="false" outlineLevel="0" max="16" min="16" style="1" width="10.99"/>
    <col collapsed="false" customWidth="true" hidden="false" outlineLevel="0" max="17" min="17" style="1" width="9.32"/>
    <col collapsed="false" customWidth="false" hidden="false" outlineLevel="0" max="16384" min="18" style="1" width="9.14"/>
  </cols>
  <sheetData>
    <row r="1" customFormat="false" ht="18" hidden="false" customHeight="true" outlineLevel="0" collapsed="false">
      <c r="A1" s="2"/>
      <c r="B1" s="3"/>
      <c r="C1" s="3"/>
      <c r="D1" s="3"/>
      <c r="E1" s="3"/>
      <c r="F1" s="3"/>
      <c r="G1" s="3"/>
      <c r="H1" s="4"/>
      <c r="I1" s="4"/>
      <c r="J1" s="5"/>
      <c r="K1" s="5"/>
      <c r="L1" s="5"/>
      <c r="M1" s="5"/>
      <c r="N1" s="3"/>
      <c r="O1" s="3"/>
    </row>
    <row r="2" customFormat="false" ht="18" hidden="false" customHeight="true" outlineLevel="0" collapsed="false">
      <c r="A2" s="2"/>
      <c r="B2" s="3"/>
      <c r="C2" s="3"/>
      <c r="D2" s="3"/>
      <c r="E2" s="3"/>
      <c r="F2" s="3"/>
      <c r="G2" s="3"/>
      <c r="H2" s="4"/>
      <c r="I2" s="4"/>
      <c r="J2" s="5"/>
      <c r="K2" s="5"/>
      <c r="L2" s="5"/>
      <c r="M2" s="5"/>
      <c r="N2" s="3"/>
      <c r="O2" s="3"/>
    </row>
    <row r="3" s="14" customFormat="true" ht="18" hidden="false" customHeight="true" outlineLevel="0" collapsed="false">
      <c r="A3" s="6"/>
      <c r="B3" s="7"/>
      <c r="C3" s="7"/>
      <c r="D3" s="8"/>
      <c r="E3" s="9"/>
      <c r="F3" s="10"/>
      <c r="G3" s="10"/>
      <c r="H3" s="11"/>
      <c r="I3" s="12"/>
      <c r="J3" s="11"/>
      <c r="K3" s="11"/>
      <c r="L3" s="11"/>
      <c r="M3" s="11"/>
      <c r="N3" s="12"/>
      <c r="O3" s="13"/>
    </row>
    <row r="4" customFormat="false" ht="9.75" hidden="false" customHeight="true" outlineLevel="0" collapsed="false">
      <c r="A4" s="15"/>
      <c r="B4" s="16"/>
      <c r="C4" s="16"/>
      <c r="E4" s="17"/>
      <c r="F4" s="18"/>
      <c r="G4" s="18"/>
      <c r="H4" s="15"/>
      <c r="I4" s="19"/>
      <c r="J4" s="15"/>
      <c r="K4" s="15"/>
      <c r="L4" s="15"/>
      <c r="M4" s="15"/>
      <c r="N4" s="19"/>
      <c r="O4" s="20"/>
    </row>
    <row r="5" s="26" customFormat="true" ht="23.85" hidden="false" customHeight="true" outlineLevel="0" collapsed="false">
      <c r="A5" s="21" t="s">
        <v>0</v>
      </c>
      <c r="B5" s="21"/>
      <c r="C5" s="21"/>
      <c r="D5" s="21"/>
      <c r="E5" s="22" t="s">
        <v>1</v>
      </c>
      <c r="F5" s="22"/>
      <c r="G5" s="23" t="s">
        <v>2</v>
      </c>
      <c r="H5" s="24" t="s">
        <v>3</v>
      </c>
      <c r="I5" s="24"/>
      <c r="J5" s="24"/>
      <c r="K5" s="24"/>
      <c r="L5" s="24"/>
      <c r="M5" s="24"/>
      <c r="N5" s="25" t="s">
        <v>4</v>
      </c>
      <c r="O5" s="25"/>
      <c r="P5" s="25"/>
      <c r="Q5" s="25"/>
    </row>
    <row r="6" s="26" customFormat="true" ht="35.05" hidden="false" customHeight="false" outlineLevel="0" collapsed="false">
      <c r="A6" s="27" t="s">
        <v>5</v>
      </c>
      <c r="B6" s="28" t="s">
        <v>6</v>
      </c>
      <c r="C6" s="29" t="s">
        <v>7</v>
      </c>
      <c r="D6" s="29" t="s">
        <v>8</v>
      </c>
      <c r="E6" s="29" t="s">
        <v>9</v>
      </c>
      <c r="F6" s="29" t="s">
        <v>10</v>
      </c>
      <c r="G6" s="23"/>
      <c r="H6" s="30" t="s">
        <v>11</v>
      </c>
      <c r="I6" s="28" t="s">
        <v>12</v>
      </c>
      <c r="J6" s="31" t="s">
        <v>13</v>
      </c>
      <c r="K6" s="31" t="s">
        <v>14</v>
      </c>
      <c r="L6" s="31" t="s">
        <v>15</v>
      </c>
      <c r="M6" s="32" t="s">
        <v>16</v>
      </c>
      <c r="N6" s="33" t="s">
        <v>17</v>
      </c>
      <c r="O6" s="34" t="s">
        <v>18</v>
      </c>
      <c r="P6" s="34" t="s">
        <v>19</v>
      </c>
      <c r="Q6" s="35" t="s">
        <v>20</v>
      </c>
    </row>
    <row r="7" s="54" customFormat="true" ht="24" hidden="false" customHeight="true" outlineLevel="0" collapsed="false">
      <c r="A7" s="36"/>
      <c r="B7" s="37"/>
      <c r="C7" s="38"/>
      <c r="D7" s="39"/>
      <c r="E7" s="40"/>
      <c r="F7" s="40"/>
      <c r="G7" s="41"/>
      <c r="H7" s="42"/>
      <c r="I7" s="43"/>
      <c r="J7" s="44"/>
      <c r="K7" s="45"/>
      <c r="L7" s="46"/>
      <c r="M7" s="47"/>
      <c r="N7" s="48" t="str">
        <f aca="false">IF(J7&gt;572,"Negativo",IF(J7&gt;=425,"Positivo","Negativo"))</f>
        <v>Negativo</v>
      </c>
      <c r="O7" s="49" t="str">
        <f aca="false">IF(K7&gt;=6,"Positivo","Negativo")</f>
        <v>Negativo</v>
      </c>
      <c r="P7" s="49" t="str">
        <f aca="false">IF(L7&gt;1.37,"Negativo",IF(L7&gt;=1.13,"Positivo","Negativo"))</f>
        <v>Negativo</v>
      </c>
      <c r="Q7" s="50" t="str">
        <f aca="false">IF(M7="F","Positivo","Negativo")</f>
        <v>Negativo</v>
      </c>
      <c r="R7" s="51"/>
      <c r="S7" s="52"/>
      <c r="T7" s="53"/>
    </row>
    <row r="8" s="54" customFormat="true" ht="24" hidden="false" customHeight="true" outlineLevel="0" collapsed="false">
      <c r="A8" s="55"/>
      <c r="B8" s="56"/>
      <c r="C8" s="57"/>
      <c r="D8" s="58"/>
      <c r="E8" s="59"/>
      <c r="F8" s="59"/>
      <c r="G8" s="60"/>
      <c r="H8" s="61"/>
      <c r="I8" s="62"/>
      <c r="J8" s="63"/>
      <c r="K8" s="63"/>
      <c r="L8" s="64"/>
      <c r="M8" s="65"/>
      <c r="N8" s="66" t="str">
        <f aca="false">IF(J8&gt;572,"Negativo",IF(J8&gt;=425,"Positivo","Negativo"))</f>
        <v>Negativo</v>
      </c>
      <c r="O8" s="67" t="str">
        <f aca="false">IF(K8&gt;=6,"Positivo","Negativo")</f>
        <v>Negativo</v>
      </c>
      <c r="P8" s="67" t="str">
        <f aca="false">IF(L8&gt;1.37,"Negativo",IF(L8&gt;=1.13,"Positivo","Negativo"))</f>
        <v>Negativo</v>
      </c>
      <c r="Q8" s="68" t="str">
        <f aca="false">IF(M8="F","Positivo","Negativo")</f>
        <v>Negativo</v>
      </c>
      <c r="R8" s="51"/>
      <c r="S8" s="52"/>
      <c r="T8" s="53"/>
    </row>
    <row r="9" s="54" customFormat="true" ht="24" hidden="false" customHeight="true" outlineLevel="0" collapsed="false">
      <c r="A9" s="69"/>
      <c r="B9" s="70"/>
      <c r="C9" s="71"/>
      <c r="D9" s="72"/>
      <c r="E9" s="73"/>
      <c r="F9" s="73"/>
      <c r="G9" s="74"/>
      <c r="H9" s="75"/>
      <c r="I9" s="76"/>
      <c r="J9" s="77"/>
      <c r="K9" s="77"/>
      <c r="L9" s="78"/>
      <c r="M9" s="79"/>
      <c r="N9" s="80" t="str">
        <f aca="false">IF(J9&gt;572,"Negativo",IF(J9&gt;=425,"Positivo","Negativo"))</f>
        <v>Negativo</v>
      </c>
      <c r="O9" s="81" t="str">
        <f aca="false">IF(K9&gt;=6,"Positivo","Negativo")</f>
        <v>Negativo</v>
      </c>
      <c r="P9" s="81" t="str">
        <f aca="false">IF(L9&gt;1.37,"Negativo",IF(L9&gt;=1.13,"Positivo","Negativo"))</f>
        <v>Negativo</v>
      </c>
      <c r="Q9" s="82" t="str">
        <f aca="false">IF(M9="F","Positivo","Negativo")</f>
        <v>Negativo</v>
      </c>
      <c r="R9" s="51"/>
      <c r="S9" s="52"/>
      <c r="T9" s="53"/>
    </row>
    <row r="10" s="54" customFormat="true" ht="24" hidden="false" customHeight="true" outlineLevel="0" collapsed="false">
      <c r="A10" s="36"/>
      <c r="B10" s="37"/>
      <c r="C10" s="38"/>
      <c r="D10" s="39"/>
      <c r="E10" s="40"/>
      <c r="F10" s="40"/>
      <c r="G10" s="41"/>
      <c r="H10" s="42"/>
      <c r="I10" s="43"/>
      <c r="J10" s="44"/>
      <c r="K10" s="45"/>
      <c r="L10" s="83"/>
      <c r="M10" s="47"/>
      <c r="N10" s="48" t="str">
        <f aca="false">IF(J10&gt;572,"Negativo",IF(J10&gt;=425,"Positivo","Negativo"))</f>
        <v>Negativo</v>
      </c>
      <c r="O10" s="49" t="str">
        <f aca="false">IF(K10&gt;=6,"Positivo","Negativo")</f>
        <v>Negativo</v>
      </c>
      <c r="P10" s="49" t="str">
        <f aca="false">IF(L10&gt;1.37,"Negativo",IF(L10&gt;=1.13,"Positivo","Negativo"))</f>
        <v>Negativo</v>
      </c>
      <c r="Q10" s="50" t="str">
        <f aca="false">IF(M10="F","Positivo","Negativo")</f>
        <v>Negativo</v>
      </c>
      <c r="R10" s="51"/>
      <c r="S10" s="52"/>
      <c r="T10" s="53"/>
    </row>
    <row r="11" s="54" customFormat="true" ht="24" hidden="false" customHeight="true" outlineLevel="0" collapsed="false">
      <c r="A11" s="55"/>
      <c r="B11" s="56"/>
      <c r="C11" s="57"/>
      <c r="D11" s="58"/>
      <c r="E11" s="59"/>
      <c r="F11" s="59"/>
      <c r="G11" s="60"/>
      <c r="H11" s="61"/>
      <c r="I11" s="62"/>
      <c r="J11" s="63"/>
      <c r="K11" s="63"/>
      <c r="L11" s="64"/>
      <c r="M11" s="65"/>
      <c r="N11" s="66" t="str">
        <f aca="false">IF(J11&gt;572,"Negativo",IF(J11&gt;=425,"Positivo","Negativo"))</f>
        <v>Negativo</v>
      </c>
      <c r="O11" s="67" t="str">
        <f aca="false">IF(K11&gt;=6,"Positivo","Negativo")</f>
        <v>Negativo</v>
      </c>
      <c r="P11" s="67" t="str">
        <f aca="false">IF(L11&gt;1.37,"Negativo",IF(L11&gt;=1.13,"Positivo","Negativo"))</f>
        <v>Negativo</v>
      </c>
      <c r="Q11" s="68" t="str">
        <f aca="false">IF(M11="F","Positivo","Negativo")</f>
        <v>Negativo</v>
      </c>
      <c r="R11" s="51"/>
      <c r="S11" s="52"/>
      <c r="T11" s="53"/>
    </row>
    <row r="12" s="54" customFormat="true" ht="24" hidden="false" customHeight="true" outlineLevel="0" collapsed="false">
      <c r="A12" s="69"/>
      <c r="B12" s="70"/>
      <c r="C12" s="71"/>
      <c r="D12" s="72"/>
      <c r="E12" s="73"/>
      <c r="F12" s="73"/>
      <c r="G12" s="74"/>
      <c r="H12" s="75"/>
      <c r="I12" s="76"/>
      <c r="J12" s="77"/>
      <c r="K12" s="77"/>
      <c r="L12" s="78"/>
      <c r="M12" s="79"/>
      <c r="N12" s="80" t="str">
        <f aca="false">IF(J12&gt;572,"Negativo",IF(J12&gt;=425,"Positivo","Negativo"))</f>
        <v>Negativo</v>
      </c>
      <c r="O12" s="81" t="str">
        <f aca="false">IF(K12&gt;=6,"Positivo","Negativo")</f>
        <v>Negativo</v>
      </c>
      <c r="P12" s="81" t="str">
        <f aca="false">IF(L12&gt;1.37,"Negativo",IF(L12&gt;=1.13,"Positivo","Negativo"))</f>
        <v>Negativo</v>
      </c>
      <c r="Q12" s="82" t="str">
        <f aca="false">IF(M12="F","Positivo","Negativo")</f>
        <v>Negativo</v>
      </c>
      <c r="R12" s="51"/>
      <c r="S12" s="52"/>
      <c r="T12" s="53"/>
    </row>
    <row r="13" s="54" customFormat="true" ht="24" hidden="false" customHeight="true" outlineLevel="0" collapsed="false">
      <c r="A13" s="36"/>
      <c r="B13" s="37"/>
      <c r="C13" s="38"/>
      <c r="D13" s="39"/>
      <c r="E13" s="40"/>
      <c r="F13" s="40"/>
      <c r="G13" s="41"/>
      <c r="H13" s="42"/>
      <c r="I13" s="43"/>
      <c r="J13" s="45"/>
      <c r="K13" s="45"/>
      <c r="L13" s="46"/>
      <c r="M13" s="47"/>
      <c r="N13" s="48" t="str">
        <f aca="false">IF(J13&gt;572,"Negativo",IF(J13&gt;=425,"Positivo","Negativo"))</f>
        <v>Negativo</v>
      </c>
      <c r="O13" s="49" t="str">
        <f aca="false">IF(K13&gt;=6,"Positivo","Negativo")</f>
        <v>Negativo</v>
      </c>
      <c r="P13" s="49" t="str">
        <f aca="false">IF(L13&gt;1.37,"Negativo",IF(L13&gt;=1.13,"Positivo","Negativo"))</f>
        <v>Negativo</v>
      </c>
      <c r="Q13" s="50" t="str">
        <f aca="false">IF(M13="F","Positivo","Negativo")</f>
        <v>Negativo</v>
      </c>
      <c r="R13" s="51"/>
      <c r="S13" s="52"/>
      <c r="T13" s="53"/>
    </row>
    <row r="14" s="54" customFormat="true" ht="24" hidden="false" customHeight="true" outlineLevel="0" collapsed="false">
      <c r="A14" s="55"/>
      <c r="B14" s="56"/>
      <c r="C14" s="57"/>
      <c r="D14" s="58"/>
      <c r="E14" s="59"/>
      <c r="F14" s="59"/>
      <c r="G14" s="60"/>
      <c r="H14" s="61"/>
      <c r="I14" s="62"/>
      <c r="J14" s="63"/>
      <c r="K14" s="63"/>
      <c r="L14" s="64"/>
      <c r="M14" s="65"/>
      <c r="N14" s="66" t="str">
        <f aca="false">IF(J14&gt;572,"Negativo",IF(J14&gt;=425,"Positivo","Negativo"))</f>
        <v>Negativo</v>
      </c>
      <c r="O14" s="67" t="str">
        <f aca="false">IF(K14&gt;=6,"Positivo","Negativo")</f>
        <v>Negativo</v>
      </c>
      <c r="P14" s="67" t="str">
        <f aca="false">IF(L14&gt;1.37,"Negativo",IF(L14&gt;=1.13,"Positivo","Negativo"))</f>
        <v>Negativo</v>
      </c>
      <c r="Q14" s="68" t="str">
        <f aca="false">IF(M14="F","Positivo","Negativo")</f>
        <v>Negativo</v>
      </c>
      <c r="R14" s="51"/>
      <c r="S14" s="52"/>
      <c r="T14" s="53"/>
    </row>
    <row r="15" s="54" customFormat="true" ht="24" hidden="false" customHeight="true" outlineLevel="0" collapsed="false">
      <c r="A15" s="69"/>
      <c r="B15" s="70"/>
      <c r="C15" s="71"/>
      <c r="D15" s="72"/>
      <c r="E15" s="73"/>
      <c r="F15" s="73"/>
      <c r="G15" s="74"/>
      <c r="H15" s="75"/>
      <c r="I15" s="76"/>
      <c r="J15" s="77"/>
      <c r="K15" s="77"/>
      <c r="L15" s="78"/>
      <c r="M15" s="79"/>
      <c r="N15" s="80" t="str">
        <f aca="false">IF(J15&gt;572,"Negativo",IF(J15&gt;=425,"Positivo","Negativo"))</f>
        <v>Negativo</v>
      </c>
      <c r="O15" s="81" t="str">
        <f aca="false">IF(K15&gt;=6,"Positivo","Negativo")</f>
        <v>Negativo</v>
      </c>
      <c r="P15" s="81" t="str">
        <f aca="false">IF(L15&gt;1.37,"Negativo",IF(L15&gt;=1.13,"Positivo","Negativo"))</f>
        <v>Negativo</v>
      </c>
      <c r="Q15" s="82" t="str">
        <f aca="false">IF(M15="F","Positivo","Negativo")</f>
        <v>Negativo</v>
      </c>
      <c r="R15" s="51"/>
      <c r="S15" s="52"/>
      <c r="T15" s="53"/>
    </row>
    <row r="16" s="54" customFormat="true" ht="24" hidden="false" customHeight="true" outlineLevel="0" collapsed="false">
      <c r="A16" s="36"/>
      <c r="B16" s="37"/>
      <c r="C16" s="38"/>
      <c r="D16" s="39"/>
      <c r="E16" s="40"/>
      <c r="F16" s="40"/>
      <c r="G16" s="41"/>
      <c r="H16" s="42"/>
      <c r="I16" s="43"/>
      <c r="J16" s="44"/>
      <c r="K16" s="44"/>
      <c r="L16" s="46"/>
      <c r="M16" s="47"/>
      <c r="N16" s="84" t="str">
        <f aca="false">IF(J16&gt;572,"Negativo",IF(J16&gt;=425,"Positivo","Negativo"))</f>
        <v>Negativo</v>
      </c>
      <c r="O16" s="85" t="str">
        <f aca="false">IF(K16&gt;=6,"Positivo","Negativo")</f>
        <v>Negativo</v>
      </c>
      <c r="P16" s="85" t="str">
        <f aca="false">IF(L16&gt;1.37,"Negativo",IF(L16&gt;=1.13,"Positivo","Negativo"))</f>
        <v>Negativo</v>
      </c>
      <c r="Q16" s="86" t="str">
        <f aca="false">IF(M16="F","Positivo","Negativo")</f>
        <v>Negativo</v>
      </c>
      <c r="R16" s="51"/>
      <c r="S16" s="52"/>
      <c r="T16" s="53"/>
    </row>
    <row r="17" s="54" customFormat="true" ht="24" hidden="false" customHeight="true" outlineLevel="0" collapsed="false">
      <c r="A17" s="55"/>
      <c r="B17" s="56"/>
      <c r="C17" s="57"/>
      <c r="D17" s="58"/>
      <c r="E17" s="59"/>
      <c r="F17" s="59"/>
      <c r="G17" s="60"/>
      <c r="H17" s="61"/>
      <c r="I17" s="62"/>
      <c r="J17" s="63"/>
      <c r="K17" s="63"/>
      <c r="L17" s="64"/>
      <c r="M17" s="65"/>
      <c r="N17" s="66" t="str">
        <f aca="false">IF(J17&gt;572,"Negativo",IF(J17&gt;=425,"Positivo","Negativo"))</f>
        <v>Negativo</v>
      </c>
      <c r="O17" s="67" t="str">
        <f aca="false">IF(K17&gt;=6,"Positivo","Negativo")</f>
        <v>Negativo</v>
      </c>
      <c r="P17" s="67" t="str">
        <f aca="false">IF(L17&gt;1.37,"Negativo",IF(L17&gt;=1.13,"Positivo","Negativo"))</f>
        <v>Negativo</v>
      </c>
      <c r="Q17" s="68" t="str">
        <f aca="false">IF(M17="F","Positivo","Negativo")</f>
        <v>Negativo</v>
      </c>
      <c r="R17" s="51"/>
      <c r="S17" s="52"/>
      <c r="T17" s="53"/>
    </row>
    <row r="18" s="54" customFormat="true" ht="24" hidden="false" customHeight="true" outlineLevel="0" collapsed="false">
      <c r="A18" s="69"/>
      <c r="B18" s="70"/>
      <c r="C18" s="71"/>
      <c r="D18" s="72"/>
      <c r="E18" s="73"/>
      <c r="F18" s="73"/>
      <c r="G18" s="74"/>
      <c r="H18" s="75"/>
      <c r="I18" s="76"/>
      <c r="J18" s="77"/>
      <c r="K18" s="77"/>
      <c r="L18" s="78"/>
      <c r="M18" s="79"/>
      <c r="N18" s="80" t="str">
        <f aca="false">IF(J18&gt;572,"Negativo",IF(J18&gt;=425,"Positivo","Negativo"))</f>
        <v>Negativo</v>
      </c>
      <c r="O18" s="81" t="str">
        <f aca="false">IF(K18&gt;=6,"Positivo","Negativo")</f>
        <v>Negativo</v>
      </c>
      <c r="P18" s="81" t="str">
        <f aca="false">IF(L18&gt;1.37,"Negativo",IF(L18&gt;=1.13,"Positivo","Negativo"))</f>
        <v>Negativo</v>
      </c>
      <c r="Q18" s="82" t="str">
        <f aca="false">IF(M18="F","Positivo","Negativo")</f>
        <v>Negativo</v>
      </c>
      <c r="R18" s="51"/>
      <c r="S18" s="52"/>
      <c r="T18" s="53"/>
    </row>
    <row r="19" s="54" customFormat="true" ht="24" hidden="false" customHeight="true" outlineLevel="0" collapsed="false">
      <c r="A19" s="36"/>
      <c r="B19" s="37"/>
      <c r="C19" s="38"/>
      <c r="D19" s="39"/>
      <c r="E19" s="40"/>
      <c r="F19" s="40"/>
      <c r="G19" s="41"/>
      <c r="H19" s="42"/>
      <c r="I19" s="43"/>
      <c r="J19" s="44"/>
      <c r="K19" s="45"/>
      <c r="L19" s="83"/>
      <c r="M19" s="47"/>
      <c r="N19" s="48" t="str">
        <f aca="false">IF(J19&gt;572,"Negativo",IF(J19&gt;=425,"Positivo","Negativo"))</f>
        <v>Negativo</v>
      </c>
      <c r="O19" s="49" t="str">
        <f aca="false">IF(K19&gt;=6,"Positivo","Negativo")</f>
        <v>Negativo</v>
      </c>
      <c r="P19" s="49" t="str">
        <f aca="false">IF(L19&gt;1.37,"Negativo",IF(L19&gt;=1.13,"Positivo","Negativo"))</f>
        <v>Negativo</v>
      </c>
      <c r="Q19" s="50" t="str">
        <f aca="false">IF(M19="F","Positivo","Negativo")</f>
        <v>Negativo</v>
      </c>
      <c r="R19" s="51"/>
      <c r="S19" s="52"/>
      <c r="T19" s="53"/>
    </row>
    <row r="20" s="54" customFormat="true" ht="24" hidden="false" customHeight="true" outlineLevel="0" collapsed="false">
      <c r="A20" s="55"/>
      <c r="B20" s="56"/>
      <c r="C20" s="57"/>
      <c r="D20" s="58"/>
      <c r="E20" s="59"/>
      <c r="F20" s="59"/>
      <c r="G20" s="60"/>
      <c r="H20" s="61"/>
      <c r="I20" s="62"/>
      <c r="J20" s="44"/>
      <c r="K20" s="63"/>
      <c r="L20" s="64"/>
      <c r="M20" s="65"/>
      <c r="N20" s="66" t="str">
        <f aca="false">IF(J20&gt;572,"Negativo",IF(J20&gt;=425,"Positivo","Negativo"))</f>
        <v>Negativo</v>
      </c>
      <c r="O20" s="67" t="str">
        <f aca="false">IF(K20&gt;=6,"Positivo","Negativo")</f>
        <v>Negativo</v>
      </c>
      <c r="P20" s="67" t="str">
        <f aca="false">IF(L20&gt;1.37,"Negativo",IF(L20&gt;=1.13,"Positivo","Negativo"))</f>
        <v>Negativo</v>
      </c>
      <c r="Q20" s="68" t="str">
        <f aca="false">IF(M20="F","Positivo","Negativo")</f>
        <v>Negativo</v>
      </c>
      <c r="R20" s="51"/>
      <c r="S20" s="52"/>
      <c r="T20" s="53"/>
    </row>
    <row r="21" s="54" customFormat="true" ht="24" hidden="false" customHeight="true" outlineLevel="0" collapsed="false">
      <c r="A21" s="69"/>
      <c r="B21" s="70"/>
      <c r="C21" s="71"/>
      <c r="D21" s="72"/>
      <c r="E21" s="73"/>
      <c r="F21" s="73"/>
      <c r="G21" s="74"/>
      <c r="H21" s="75"/>
      <c r="I21" s="76"/>
      <c r="J21" s="77"/>
      <c r="K21" s="77"/>
      <c r="L21" s="78"/>
      <c r="M21" s="79"/>
      <c r="N21" s="80" t="str">
        <f aca="false">IF(J21&gt;572,"Negativo",IF(J21&gt;=425,"Positivo","Negativo"))</f>
        <v>Negativo</v>
      </c>
      <c r="O21" s="81" t="str">
        <f aca="false">IF(K21&gt;=6,"Positivo","Negativo")</f>
        <v>Negativo</v>
      </c>
      <c r="P21" s="81" t="str">
        <f aca="false">IF(L21&gt;1.37,"Negativo",IF(L21&gt;=1.13,"Positivo","Negativo"))</f>
        <v>Negativo</v>
      </c>
      <c r="Q21" s="82" t="str">
        <f aca="false">IF(M21="F","Positivo","Negativo")</f>
        <v>Negativo</v>
      </c>
      <c r="R21" s="51"/>
      <c r="S21" s="52"/>
      <c r="T21" s="53"/>
    </row>
    <row r="22" s="54" customFormat="true" ht="24" hidden="false" customHeight="true" outlineLevel="0" collapsed="false">
      <c r="A22" s="36"/>
      <c r="B22" s="37"/>
      <c r="C22" s="38"/>
      <c r="D22" s="39"/>
      <c r="E22" s="40"/>
      <c r="F22" s="40"/>
      <c r="G22" s="41"/>
      <c r="H22" s="42"/>
      <c r="I22" s="43"/>
      <c r="J22" s="44"/>
      <c r="K22" s="44"/>
      <c r="L22" s="83"/>
      <c r="M22" s="47"/>
      <c r="N22" s="84" t="str">
        <f aca="false">IF(J22&gt;572,"Negativo",IF(J22&gt;=425,"Positivo","Negativo"))</f>
        <v>Negativo</v>
      </c>
      <c r="O22" s="85" t="str">
        <f aca="false">IF(K22&gt;=6,"Positivo","Negativo")</f>
        <v>Negativo</v>
      </c>
      <c r="P22" s="85" t="str">
        <f aca="false">IF(L22&gt;1.37,"Negativo",IF(L22&gt;=1.13,"Positivo","Negativo"))</f>
        <v>Negativo</v>
      </c>
      <c r="Q22" s="86" t="str">
        <f aca="false">IF(M22="F","Positivo","Negativo")</f>
        <v>Negativo</v>
      </c>
      <c r="R22" s="51"/>
      <c r="S22" s="52"/>
      <c r="T22" s="53"/>
    </row>
    <row r="23" s="54" customFormat="true" ht="24" hidden="false" customHeight="true" outlineLevel="0" collapsed="false">
      <c r="A23" s="55"/>
      <c r="B23" s="56"/>
      <c r="C23" s="57"/>
      <c r="D23" s="58"/>
      <c r="E23" s="59"/>
      <c r="F23" s="59"/>
      <c r="G23" s="60"/>
      <c r="H23" s="61"/>
      <c r="I23" s="62"/>
      <c r="J23" s="44"/>
      <c r="K23" s="63"/>
      <c r="L23" s="64"/>
      <c r="M23" s="65"/>
      <c r="N23" s="66" t="str">
        <f aca="false">IF(J23&gt;572,"Negativo",IF(J23&gt;=425,"Positivo","Negativo"))</f>
        <v>Negativo</v>
      </c>
      <c r="O23" s="67" t="str">
        <f aca="false">IF(K23&gt;=6,"Positivo","Negativo")</f>
        <v>Negativo</v>
      </c>
      <c r="P23" s="67" t="str">
        <f aca="false">IF(L23&gt;1.37,"Negativo",IF(L23&gt;=1.13,"Positivo","Negativo"))</f>
        <v>Negativo</v>
      </c>
      <c r="Q23" s="68" t="str">
        <f aca="false">IF(M23="F","Positivo","Negativo")</f>
        <v>Negativo</v>
      </c>
      <c r="R23" s="51"/>
      <c r="S23" s="52"/>
      <c r="T23" s="53"/>
    </row>
    <row r="24" s="54" customFormat="true" ht="24" hidden="false" customHeight="true" outlineLevel="0" collapsed="false">
      <c r="A24" s="69"/>
      <c r="B24" s="70"/>
      <c r="C24" s="71"/>
      <c r="D24" s="72"/>
      <c r="E24" s="73"/>
      <c r="F24" s="73"/>
      <c r="G24" s="74"/>
      <c r="H24" s="75"/>
      <c r="I24" s="76"/>
      <c r="J24" s="77"/>
      <c r="K24" s="77"/>
      <c r="L24" s="78"/>
      <c r="M24" s="79"/>
      <c r="N24" s="80" t="str">
        <f aca="false">IF(J24&gt;572,"Negativo",IF(J24&gt;=425,"Positivo","Negativo"))</f>
        <v>Negativo</v>
      </c>
      <c r="O24" s="81" t="str">
        <f aca="false">IF(K24&gt;=6,"Positivo","Negativo")</f>
        <v>Negativo</v>
      </c>
      <c r="P24" s="81" t="str">
        <f aca="false">IF(L24&gt;1.37,"Negativo",IF(L24&gt;=1.13,"Positivo","Negativo"))</f>
        <v>Negativo</v>
      </c>
      <c r="Q24" s="82" t="str">
        <f aca="false">IF(M24="F","Positivo","Negativo")</f>
        <v>Negativo</v>
      </c>
      <c r="R24" s="51"/>
      <c r="S24" s="52"/>
      <c r="T24" s="53"/>
    </row>
    <row r="25" s="54" customFormat="true" ht="9.75" hidden="false" customHeight="true" outlineLevel="0" collapsed="false">
      <c r="A25" s="26"/>
      <c r="B25" s="87"/>
      <c r="C25" s="26"/>
      <c r="D25" s="88"/>
      <c r="E25" s="88"/>
      <c r="F25" s="88"/>
      <c r="G25" s="89"/>
      <c r="H25" s="90"/>
      <c r="I25" s="91"/>
      <c r="J25" s="92"/>
      <c r="K25" s="92"/>
      <c r="L25" s="93"/>
      <c r="M25" s="93"/>
      <c r="N25" s="26"/>
      <c r="O25" s="26"/>
      <c r="P25" s="26"/>
      <c r="Q25" s="26"/>
      <c r="R25" s="51"/>
      <c r="S25" s="52"/>
      <c r="T25" s="53"/>
    </row>
    <row r="26" s="3" customFormat="true" ht="15.75" hidden="false" customHeight="true" outlineLevel="0" collapsed="false">
      <c r="A26" s="94"/>
      <c r="B26" s="94"/>
      <c r="C26" s="94"/>
      <c r="D26" s="94"/>
      <c r="E26" s="95"/>
      <c r="H26" s="4"/>
      <c r="I26" s="4"/>
      <c r="J26" s="5"/>
      <c r="K26" s="5"/>
      <c r="L26" s="5"/>
      <c r="N26" s="95"/>
      <c r="O26" s="94" t="s">
        <v>21</v>
      </c>
      <c r="P26" s="94"/>
      <c r="Q26" s="94"/>
    </row>
    <row r="27" s="3" customFormat="true" ht="15.75" hidden="false" customHeight="true" outlineLevel="0" collapsed="false">
      <c r="A27" s="94"/>
      <c r="B27" s="94"/>
      <c r="C27" s="94"/>
      <c r="D27" s="94"/>
      <c r="E27" s="95"/>
      <c r="H27" s="4"/>
      <c r="I27" s="4"/>
      <c r="J27" s="5"/>
      <c r="K27" s="5"/>
      <c r="L27" s="5"/>
      <c r="M27" s="54"/>
      <c r="N27" s="95"/>
      <c r="O27" s="94"/>
      <c r="P27" s="94"/>
      <c r="Q27" s="94"/>
    </row>
  </sheetData>
  <mergeCells count="9">
    <mergeCell ref="A5:D5"/>
    <mergeCell ref="E5:F5"/>
    <mergeCell ref="G5:G6"/>
    <mergeCell ref="H5:M5"/>
    <mergeCell ref="N5:Q5"/>
    <mergeCell ref="A26:D26"/>
    <mergeCell ref="O26:Q26"/>
    <mergeCell ref="A27:D27"/>
    <mergeCell ref="O27:Q27"/>
  </mergeCells>
  <conditionalFormatting sqref="L6:M6">
    <cfRule type="containsText" priority="2" operator="containsText" aboveAverage="0" equalAverage="0" bottom="0" percent="0" rank="0" text="Negativo" dxfId="0">
      <formula>NOT(ISERROR(SEARCH("Negativo",L6)))</formula>
    </cfRule>
  </conditionalFormatting>
  <conditionalFormatting sqref="N6:Q6">
    <cfRule type="containsText" priority="3" operator="containsText" aboveAverage="0" equalAverage="0" bottom="0" percent="0" rank="0" text="Positivo" dxfId="1">
      <formula>NOT(ISERROR(SEARCH("Positivo",N6)))</formula>
    </cfRule>
  </conditionalFormatting>
  <conditionalFormatting sqref="N6:Q6">
    <cfRule type="containsText" priority="4" operator="containsText" aboveAverage="0" equalAverage="0" bottom="0" percent="0" rank="0" text="Negativo" dxfId="2">
      <formula>NOT(ISERROR(SEARCH("Negativo",N6)))</formula>
    </cfRule>
  </conditionalFormatting>
  <printOptions headings="false" gridLines="false" gridLinesSet="true" horizontalCentered="true" verticalCentered="false"/>
  <pageMargins left="0" right="0" top="0.39375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4e89af6e-80cf-461f-849d-33ac481874a3}" enabled="1" method="Privileged" siteId="{f57babab-d7b5-4fb8-8ddd-057ce542d0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2024-12-02T13:44:47Z</dcterms:created>
  <dc:creator>Lagrotteria Luca</dc:creator>
  <dc:description/>
  <dc:language>it-IT</dc:language>
  <cp:lastModifiedBy/>
  <dcterms:modified xsi:type="dcterms:W3CDTF">2026-06-30T09:14:13Z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89af6e-80cf-461f-849d-33ac481874a3_ActionId">
    <vt:lpwstr>c2afed62-b1a6-4eb4-b7c6-19a13bbd590b</vt:lpwstr>
  </property>
  <property fmtid="{D5CDD505-2E9C-101B-9397-08002B2CF9AE}" pid="3" name="MSIP_Label_4e89af6e-80cf-461f-849d-33ac481874a3_ContentBits">
    <vt:lpwstr>0</vt:lpwstr>
  </property>
  <property fmtid="{D5CDD505-2E9C-101B-9397-08002B2CF9AE}" pid="4" name="MSIP_Label_4e89af6e-80cf-461f-849d-33ac481874a3_Enabled">
    <vt:lpwstr>true</vt:lpwstr>
  </property>
  <property fmtid="{D5CDD505-2E9C-101B-9397-08002B2CF9AE}" pid="5" name="MSIP_Label_4e89af6e-80cf-461f-849d-33ac481874a3_Method">
    <vt:lpwstr>Privileged</vt:lpwstr>
  </property>
  <property fmtid="{D5CDD505-2E9C-101B-9397-08002B2CF9AE}" pid="6" name="MSIP_Label_4e89af6e-80cf-461f-849d-33ac481874a3_Name">
    <vt:lpwstr>Public without footer</vt:lpwstr>
  </property>
  <property fmtid="{D5CDD505-2E9C-101B-9397-08002B2CF9AE}" pid="7" name="MSIP_Label_4e89af6e-80cf-461f-849d-33ac481874a3_SetDate">
    <vt:lpwstr>2024-12-02T13:45:25Z</vt:lpwstr>
  </property>
  <property fmtid="{D5CDD505-2E9C-101B-9397-08002B2CF9AE}" pid="8" name="MSIP_Label_4e89af6e-80cf-461f-849d-33ac481874a3_SiteId">
    <vt:lpwstr>f57babab-d7b5-4fb8-8ddd-057ce542d039</vt:lpwstr>
  </property>
</Properties>
</file>